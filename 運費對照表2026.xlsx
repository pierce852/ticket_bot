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K to HK"/>
    <sheet r:id="rId2" sheetId="2" name="HK to CN"/>
  </sheets>
  <definedNames>
    <definedName name="_xlnm._FilterDatabase" localSheetId="1">'HK to CN'!$A$1:$AA$1</definedName>
    <definedName name="_xlnm._FilterDatabase" localSheetId="0">'HK to HK'!$A$1:$T$1</definedName>
  </definedNames>
  <calcPr fullCalcOnLoad="1"/>
</workbook>
</file>

<file path=xl/sharedStrings.xml><?xml version="1.0" encoding="utf-8"?>
<sst xmlns="http://schemas.openxmlformats.org/spreadsheetml/2006/main" count="138" uniqueCount="16">
  <si>
    <t>HK to 
華南</t>
  </si>
  <si>
    <t>SF</t>
  </si>
  <si>
    <t>JD</t>
  </si>
  <si>
    <t>SUNNY</t>
  </si>
  <si>
    <t>SURISE</t>
  </si>
  <si>
    <t>HK to 
華東&amp;東南</t>
  </si>
  <si>
    <t>HK to 
華西</t>
  </si>
  <si>
    <t>HK to 
華中&amp;華北</t>
  </si>
  <si>
    <t>KGS</t>
  </si>
  <si>
    <t>JD SF 因為寄上去限10KG一個AWB，所以OVER 10KG再計過</t>
  </si>
  <si>
    <t>HK to HK</t>
  </si>
  <si>
    <t>JD
(如需簽收單, 另加$10)</t>
  </si>
  <si>
    <t>Local - $65包8箱，其後每箱$8
另加隧道費，停車場費，登記費，雜費</t>
  </si>
  <si>
    <t>Local - 送貨櫃碼頭 - MOQ $450
另加隧道費，停車場費，登記費，雜費</t>
  </si>
  <si>
    <t>HK to HK叫做無限制，但其實OVER 20KG會貴得好恐怖</t>
  </si>
  <si>
    <t>HK to HK OVER 20KG 應該用返豬仔, 但送貨櫃碼頭呀~元朗倉果D，入閘費登記費好金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</si>
</sst>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6">
    <numFmt numFmtId="164" formatCode="[$hkd] #,##0"/>
    <numFmt numFmtId="165" formatCode="[$hkd] #,##0.ff"/>
    <numFmt numFmtId="166" formatCode="[$hKd] #,##0"/>
    <numFmt numFmtId="167" formatCode="[$hKd] #,##0.ff"/>
    <numFmt numFmtId="168" formatCode="[$hkd] #,##0.f"/>
    <numFmt numFmtId="169" formatCode="[$hKd] #,##0.f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8">
    <xf xfId="0" numFmtId="0" borderId="0" fontId="0" fillId="0"/>
    <xf xfId="0" numFmtId="3" applyNumberFormat="1" borderId="1" applyBorder="1" fontId="1" applyFont="1" fillId="2" applyFill="1" applyAlignment="1">
      <alignment horizontal="center" wrapText="1"/>
    </xf>
    <xf xfId="0" numFmtId="0" borderId="1" applyBorder="1" fontId="1" applyFont="1" fillId="2" applyFill="1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165" applyNumberFormat="1" borderId="1" applyBorder="1" fontId="1" applyFont="1" fillId="0" applyAlignment="1">
      <alignment horizontal="center"/>
    </xf>
    <xf xfId="0" numFmtId="0" borderId="2" applyBorder="1" fontId="1" applyFont="1" fillId="0" applyAlignment="1">
      <alignment horizontal="left"/>
    </xf>
    <xf xfId="0" numFmtId="4" applyNumberFormat="1" borderId="1" applyBorder="1" fontId="2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166" applyNumberFormat="1" borderId="1" applyBorder="1" fontId="2" applyFont="1" fillId="0" applyAlignment="1">
      <alignment horizontal="center"/>
    </xf>
    <xf xfId="0" numFmtId="167" applyNumberFormat="1" borderId="1" applyBorder="1" fontId="2" applyFont="1" fillId="0" applyAlignment="1">
      <alignment horizontal="center"/>
    </xf>
    <xf xfId="0" numFmtId="0" borderId="2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165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165" applyNumberFormat="1" borderId="0" fontId="0" fillId="0" applyAlignment="1">
      <alignment horizontal="general"/>
    </xf>
    <xf xfId="0" numFmtId="3" applyNumberFormat="1" borderId="1" applyBorder="1" fontId="1" applyFont="1" fillId="2" applyFill="1" applyAlignment="1">
      <alignment horizontal="center"/>
    </xf>
    <xf xfId="0" numFmtId="168" applyNumberFormat="1" borderId="1" applyBorder="1" fontId="1" applyFont="1" fillId="0" applyAlignment="1">
      <alignment horizontal="center" wrapText="1"/>
    </xf>
    <xf xfId="0" numFmtId="164" applyNumberFormat="1" borderId="1" applyBorder="1" fontId="1" applyFont="1" fillId="0" applyAlignment="1">
      <alignment horizontal="center" wrapText="1"/>
    </xf>
    <xf xfId="0" numFmtId="169" applyNumberFormat="1" borderId="1" applyBorder="1" fontId="2" applyFont="1" fillId="0" applyAlignment="1">
      <alignment horizontal="center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left"/>
    </xf>
    <xf xfId="0" numFmtId="164" applyNumberFormat="1" borderId="0" fontId="0" fillId="0" applyAlignment="1">
      <alignment horizontal="center"/>
    </xf>
    <xf xfId="0" numFmtId="168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31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24" width="8.862142857142858" customWidth="1" bestFit="1"/>
    <col min="2" max="2" style="25" width="8.862142857142858" customWidth="1" bestFit="1"/>
    <col min="3" max="3" style="26" width="9.43357142857143" customWidth="1" bestFit="1"/>
    <col min="4" max="4" style="27" width="14.719285714285713" customWidth="1" bestFit="1"/>
    <col min="5" max="5" style="26" width="25.290714285714284" customWidth="1" bestFit="1"/>
    <col min="6" max="6" style="26" width="25.576428571428572" customWidth="1" bestFit="1"/>
    <col min="7" max="7" style="17" width="13.576428571428572" customWidth="1" bestFit="1"/>
    <col min="8" max="8" style="17" width="13.576428571428572" customWidth="1" bestFit="1"/>
    <col min="9" max="9" style="17" width="13.576428571428572" customWidth="1" bestFit="1"/>
    <col min="10" max="10" style="17" width="13.576428571428572" customWidth="1" bestFit="1"/>
    <col min="11" max="11" style="17" width="13.576428571428572" customWidth="1" bestFit="1"/>
    <col min="12" max="12" style="17" width="13.576428571428572" customWidth="1" bestFit="1"/>
    <col min="13" max="13" style="17" width="13.576428571428572" customWidth="1" bestFit="1"/>
    <col min="14" max="14" style="17" width="13.576428571428572" customWidth="1" bestFit="1"/>
    <col min="15" max="15" style="17" width="13.576428571428572" customWidth="1" bestFit="1"/>
    <col min="16" max="16" style="17" width="13.576428571428572" customWidth="1" bestFit="1"/>
    <col min="17" max="17" style="17" width="13.576428571428572" customWidth="1" bestFit="1"/>
    <col min="18" max="18" style="17" width="13.576428571428572" customWidth="1" bestFit="1"/>
    <col min="19" max="19" style="17" width="13.576428571428572" customWidth="1" bestFit="1"/>
    <col min="20" max="20" style="17" width="13.576428571428572" customWidth="1" bestFit="1"/>
  </cols>
  <sheetData>
    <row x14ac:dyDescent="0.25" r="1" customHeight="1" ht="18.75">
      <c r="A1" s="20" t="s">
        <v>10</v>
      </c>
      <c r="B1" s="2"/>
      <c r="C1" s="3" t="s">
        <v>1</v>
      </c>
      <c r="D1" s="21" t="s">
        <v>11</v>
      </c>
      <c r="E1" s="22" t="s">
        <v>12</v>
      </c>
      <c r="F1" s="22" t="s">
        <v>13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</row>
    <row x14ac:dyDescent="0.25" r="2" customHeight="1" ht="13.5">
      <c r="A2" s="6">
        <v>0.5</v>
      </c>
      <c r="B2" s="7" t="s">
        <v>8</v>
      </c>
      <c r="C2" s="8">
        <v>20.999502314814816</v>
      </c>
      <c r="D2" s="23">
        <v>17.999502314814816</v>
      </c>
      <c r="E2" s="8">
        <v>64.9995023148148</v>
      </c>
      <c r="F2" s="8">
        <v>450</v>
      </c>
      <c r="G2" s="13"/>
      <c r="H2" s="13" t="s">
        <v>14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0"/>
    </row>
    <row x14ac:dyDescent="0.25" r="3" customHeight="1" ht="18.75">
      <c r="A3" s="11">
        <v>1</v>
      </c>
      <c r="B3" s="7" t="s">
        <v>8</v>
      </c>
      <c r="C3" s="8">
        <v>30.999502314814816</v>
      </c>
      <c r="D3" s="23">
        <v>23.949502314814815</v>
      </c>
      <c r="E3" s="8">
        <v>64.9995023148148</v>
      </c>
      <c r="F3" s="8">
        <v>450</v>
      </c>
      <c r="G3" s="13"/>
      <c r="H3" s="13" t="s">
        <v>15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0"/>
    </row>
    <row x14ac:dyDescent="0.25" r="4" customHeight="1" ht="18.75">
      <c r="A4" s="6">
        <v>1.5</v>
      </c>
      <c r="B4" s="7" t="s">
        <v>8</v>
      </c>
      <c r="C4" s="8">
        <v>37.99950231481481</v>
      </c>
      <c r="D4" s="23">
        <v>29.899502314814814</v>
      </c>
      <c r="E4" s="8">
        <v>64.9995023148148</v>
      </c>
      <c r="F4" s="8">
        <v>450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0"/>
    </row>
    <row x14ac:dyDescent="0.25" r="5" customHeight="1" ht="18.75">
      <c r="A5" s="11">
        <v>2</v>
      </c>
      <c r="B5" s="7" t="s">
        <v>8</v>
      </c>
      <c r="C5" s="8">
        <v>44.99950231481481</v>
      </c>
      <c r="D5" s="23">
        <v>34.99950231481481</v>
      </c>
      <c r="E5" s="8">
        <v>64.9995023148148</v>
      </c>
      <c r="F5" s="8">
        <v>450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0"/>
    </row>
    <row x14ac:dyDescent="0.25" r="6" customHeight="1" ht="18.75">
      <c r="A6" s="6">
        <v>2.5</v>
      </c>
      <c r="B6" s="7" t="s">
        <v>8</v>
      </c>
      <c r="C6" s="8">
        <v>51.99950231481481</v>
      </c>
      <c r="D6" s="23">
        <v>40.949502314814815</v>
      </c>
      <c r="E6" s="8">
        <v>64.9995023148148</v>
      </c>
      <c r="F6" s="8">
        <v>450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0"/>
    </row>
    <row x14ac:dyDescent="0.25" r="7" customHeight="1" ht="18.75">
      <c r="A7" s="11">
        <v>3</v>
      </c>
      <c r="B7" s="7" t="s">
        <v>8</v>
      </c>
      <c r="C7" s="8">
        <v>58.99950231481481</v>
      </c>
      <c r="D7" s="23">
        <v>46.09950231481481</v>
      </c>
      <c r="E7" s="8">
        <v>64.9995023148148</v>
      </c>
      <c r="F7" s="8">
        <v>450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0"/>
    </row>
    <row x14ac:dyDescent="0.25" r="8" customHeight="1" ht="18.75">
      <c r="A8" s="6">
        <v>3.5</v>
      </c>
      <c r="B8" s="7" t="s">
        <v>8</v>
      </c>
      <c r="C8" s="8">
        <v>58.99950231481481</v>
      </c>
      <c r="D8" s="23">
        <v>46.09950231481481</v>
      </c>
      <c r="E8" s="8">
        <v>64.9995023148148</v>
      </c>
      <c r="F8" s="8">
        <v>450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0"/>
    </row>
    <row x14ac:dyDescent="0.25" r="9" customHeight="1" ht="18.75">
      <c r="A9" s="11">
        <v>4</v>
      </c>
      <c r="B9" s="7" t="s">
        <v>8</v>
      </c>
      <c r="C9" s="8">
        <v>58.99950231481481</v>
      </c>
      <c r="D9" s="23">
        <v>46.09950231481481</v>
      </c>
      <c r="E9" s="8">
        <v>64.9995023148148</v>
      </c>
      <c r="F9" s="8">
        <v>450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0"/>
    </row>
    <row x14ac:dyDescent="0.25" r="10" customHeight="1" ht="18.75">
      <c r="A10" s="6">
        <v>4.5</v>
      </c>
      <c r="B10" s="7" t="s">
        <v>8</v>
      </c>
      <c r="C10" s="8">
        <v>58.99950231481481</v>
      </c>
      <c r="D10" s="23">
        <v>46.09950231481481</v>
      </c>
      <c r="E10" s="8">
        <v>64.9995023148148</v>
      </c>
      <c r="F10" s="8">
        <v>450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0"/>
    </row>
    <row x14ac:dyDescent="0.25" r="11" customHeight="1" ht="18.75">
      <c r="A11" s="11">
        <v>5</v>
      </c>
      <c r="B11" s="7" t="s">
        <v>8</v>
      </c>
      <c r="C11" s="8">
        <v>58.99950231481481</v>
      </c>
      <c r="D11" s="23">
        <v>46.09950231481481</v>
      </c>
      <c r="E11" s="8">
        <v>64.9995023148148</v>
      </c>
      <c r="F11" s="8">
        <v>450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0"/>
    </row>
    <row x14ac:dyDescent="0.25" r="12" customHeight="1" ht="18.75">
      <c r="A12" s="6">
        <v>5.5</v>
      </c>
      <c r="B12" s="7" t="s">
        <v>8</v>
      </c>
      <c r="C12" s="8">
        <v>67.99950231481482</v>
      </c>
      <c r="D12" s="23">
        <v>53.699502314814815</v>
      </c>
      <c r="E12" s="8">
        <v>64.9995023148148</v>
      </c>
      <c r="F12" s="8">
        <v>450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0"/>
    </row>
    <row x14ac:dyDescent="0.25" r="13" customHeight="1" ht="18.75">
      <c r="A13" s="11">
        <v>6</v>
      </c>
      <c r="B13" s="7" t="s">
        <v>8</v>
      </c>
      <c r="C13" s="8">
        <v>67.99950231481482</v>
      </c>
      <c r="D13" s="23">
        <v>53.699502314814815</v>
      </c>
      <c r="E13" s="8">
        <v>64.9995023148148</v>
      </c>
      <c r="F13" s="8">
        <v>450</v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0"/>
    </row>
    <row x14ac:dyDescent="0.25" r="14" customHeight="1" ht="18.75">
      <c r="A14" s="6">
        <v>6.5</v>
      </c>
      <c r="B14" s="7" t="s">
        <v>8</v>
      </c>
      <c r="C14" s="8">
        <v>67.99950231481482</v>
      </c>
      <c r="D14" s="23">
        <v>53.699502314814815</v>
      </c>
      <c r="E14" s="8">
        <v>64.9995023148148</v>
      </c>
      <c r="F14" s="8">
        <v>450</v>
      </c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0"/>
    </row>
    <row x14ac:dyDescent="0.25" r="15" customHeight="1" ht="18.75">
      <c r="A15" s="11">
        <v>7</v>
      </c>
      <c r="B15" s="7" t="s">
        <v>8</v>
      </c>
      <c r="C15" s="8">
        <v>67.99950231481482</v>
      </c>
      <c r="D15" s="23">
        <v>53.699502314814815</v>
      </c>
      <c r="E15" s="8">
        <v>64.9995023148148</v>
      </c>
      <c r="F15" s="8">
        <v>450</v>
      </c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0"/>
    </row>
    <row x14ac:dyDescent="0.25" r="16" customHeight="1" ht="18.75">
      <c r="A16" s="6">
        <v>7.5</v>
      </c>
      <c r="B16" s="7" t="s">
        <v>8</v>
      </c>
      <c r="C16" s="8">
        <v>67.99950231481482</v>
      </c>
      <c r="D16" s="23">
        <v>53.699502314814815</v>
      </c>
      <c r="E16" s="8">
        <v>64.9995023148148</v>
      </c>
      <c r="F16" s="8">
        <v>450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0"/>
    </row>
    <row x14ac:dyDescent="0.25" r="17" customHeight="1" ht="18.75">
      <c r="A17" s="11">
        <v>8</v>
      </c>
      <c r="B17" s="7" t="s">
        <v>8</v>
      </c>
      <c r="C17" s="8">
        <v>67.99950231481482</v>
      </c>
      <c r="D17" s="23">
        <v>53.699502314814815</v>
      </c>
      <c r="E17" s="8">
        <v>64.9995023148148</v>
      </c>
      <c r="F17" s="8">
        <v>450</v>
      </c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0"/>
    </row>
    <row x14ac:dyDescent="0.25" r="18" customHeight="1" ht="18.75">
      <c r="A18" s="6">
        <v>8.5</v>
      </c>
      <c r="B18" s="7" t="s">
        <v>8</v>
      </c>
      <c r="C18" s="8">
        <v>67.99950231481482</v>
      </c>
      <c r="D18" s="23">
        <v>53.699502314814815</v>
      </c>
      <c r="E18" s="8">
        <v>64.9995023148148</v>
      </c>
      <c r="F18" s="8">
        <v>450</v>
      </c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0"/>
    </row>
    <row x14ac:dyDescent="0.25" r="19" customHeight="1" ht="18.75">
      <c r="A19" s="11">
        <v>9</v>
      </c>
      <c r="B19" s="7" t="s">
        <v>8</v>
      </c>
      <c r="C19" s="8">
        <v>67.99950231481482</v>
      </c>
      <c r="D19" s="23">
        <v>53.699502314814815</v>
      </c>
      <c r="E19" s="8">
        <v>64.9995023148148</v>
      </c>
      <c r="F19" s="8">
        <v>450</v>
      </c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0"/>
    </row>
    <row x14ac:dyDescent="0.25" r="20" customHeight="1" ht="18.75">
      <c r="A20" s="6">
        <v>9.5</v>
      </c>
      <c r="B20" s="7" t="s">
        <v>8</v>
      </c>
      <c r="C20" s="8">
        <v>67.99950231481482</v>
      </c>
      <c r="D20" s="23">
        <v>53.699502314814815</v>
      </c>
      <c r="E20" s="8">
        <v>64.9995023148148</v>
      </c>
      <c r="F20" s="8">
        <v>450</v>
      </c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0"/>
    </row>
    <row x14ac:dyDescent="0.25" r="21" customHeight="1" ht="18.75">
      <c r="A21" s="11">
        <v>10</v>
      </c>
      <c r="B21" s="7" t="s">
        <v>8</v>
      </c>
      <c r="C21" s="8">
        <v>67.99950231481482</v>
      </c>
      <c r="D21" s="23">
        <v>53.699502314814815</v>
      </c>
      <c r="E21" s="8">
        <v>64.9995023148148</v>
      </c>
      <c r="F21" s="8">
        <v>450</v>
      </c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0"/>
    </row>
    <row x14ac:dyDescent="0.25" r="22" customHeight="1" ht="18.75">
      <c r="A22" s="11">
        <v>11</v>
      </c>
      <c r="B22" s="7" t="s">
        <v>8</v>
      </c>
      <c r="C22" s="8">
        <v>77.99950231481482</v>
      </c>
      <c r="D22" s="23">
        <v>60.34950231481481</v>
      </c>
      <c r="E22" s="8">
        <v>64.9995023148148</v>
      </c>
      <c r="F22" s="8">
        <v>450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</row>
    <row x14ac:dyDescent="0.25" r="23" customHeight="1" ht="18.75">
      <c r="A23" s="11">
        <v>12</v>
      </c>
      <c r="B23" s="7" t="s">
        <v>8</v>
      </c>
      <c r="C23" s="8">
        <v>77.99950231481482</v>
      </c>
      <c r="D23" s="23">
        <v>60.34950231481481</v>
      </c>
      <c r="E23" s="8">
        <v>64.9995023148148</v>
      </c>
      <c r="F23" s="8">
        <v>450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</row>
    <row x14ac:dyDescent="0.25" r="24" customHeight="1" ht="18.75">
      <c r="A24" s="11">
        <v>13</v>
      </c>
      <c r="B24" s="7" t="s">
        <v>8</v>
      </c>
      <c r="C24" s="8">
        <v>77.99950231481482</v>
      </c>
      <c r="D24" s="23">
        <v>60.34950231481481</v>
      </c>
      <c r="E24" s="8">
        <v>64.9995023148148</v>
      </c>
      <c r="F24" s="8">
        <v>450</v>
      </c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</row>
    <row x14ac:dyDescent="0.25" r="25" customHeight="1" ht="18.75">
      <c r="A25" s="11">
        <v>14</v>
      </c>
      <c r="B25" s="7" t="s">
        <v>8</v>
      </c>
      <c r="C25" s="8">
        <v>77.99950231481482</v>
      </c>
      <c r="D25" s="23">
        <v>60.34950231481481</v>
      </c>
      <c r="E25" s="8">
        <v>64.9995023148148</v>
      </c>
      <c r="F25" s="8">
        <v>450</v>
      </c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</row>
    <row x14ac:dyDescent="0.25" r="26" customHeight="1" ht="18.75">
      <c r="A26" s="11">
        <v>15</v>
      </c>
      <c r="B26" s="7" t="s">
        <v>8</v>
      </c>
      <c r="C26" s="8">
        <v>77.99950231481482</v>
      </c>
      <c r="D26" s="23">
        <v>60.34950231481481</v>
      </c>
      <c r="E26" s="8">
        <v>64.9995023148148</v>
      </c>
      <c r="F26" s="8">
        <v>450</v>
      </c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</row>
    <row x14ac:dyDescent="0.25" r="27" customHeight="1" ht="18.75">
      <c r="A27" s="11">
        <v>16</v>
      </c>
      <c r="B27" s="7" t="s">
        <v>8</v>
      </c>
      <c r="C27" s="8">
        <v>87.99950231481482</v>
      </c>
      <c r="D27" s="23">
        <v>67.99950231481482</v>
      </c>
      <c r="E27" s="8">
        <v>64.9995023148148</v>
      </c>
      <c r="F27" s="8">
        <v>450</v>
      </c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</row>
    <row x14ac:dyDescent="0.25" r="28" customHeight="1" ht="18.75">
      <c r="A28" s="11">
        <v>17</v>
      </c>
      <c r="B28" s="7" t="s">
        <v>8</v>
      </c>
      <c r="C28" s="8">
        <v>87.99950231481482</v>
      </c>
      <c r="D28" s="23">
        <v>67.99950231481482</v>
      </c>
      <c r="E28" s="8">
        <v>64.9995023148148</v>
      </c>
      <c r="F28" s="8">
        <v>450</v>
      </c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</row>
    <row x14ac:dyDescent="0.25" r="29" customHeight="1" ht="18.75">
      <c r="A29" s="11">
        <v>18</v>
      </c>
      <c r="B29" s="7" t="s">
        <v>8</v>
      </c>
      <c r="C29" s="8">
        <v>87.99950231481482</v>
      </c>
      <c r="D29" s="23">
        <v>67.99950231481482</v>
      </c>
      <c r="E29" s="8">
        <v>64.9995023148148</v>
      </c>
      <c r="F29" s="8">
        <v>450</v>
      </c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</row>
    <row x14ac:dyDescent="0.25" r="30" customHeight="1" ht="18.75">
      <c r="A30" s="11">
        <v>19</v>
      </c>
      <c r="B30" s="7" t="s">
        <v>8</v>
      </c>
      <c r="C30" s="8">
        <v>87.99950231481482</v>
      </c>
      <c r="D30" s="23">
        <v>67.99950231481482</v>
      </c>
      <c r="E30" s="8">
        <v>64.9995023148148</v>
      </c>
      <c r="F30" s="8">
        <v>450</v>
      </c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</row>
    <row x14ac:dyDescent="0.25" r="31" customHeight="1" ht="18.75">
      <c r="A31" s="11">
        <v>20</v>
      </c>
      <c r="B31" s="7" t="s">
        <v>8</v>
      </c>
      <c r="C31" s="8">
        <v>87.99950231481482</v>
      </c>
      <c r="D31" s="23">
        <v>67.99950231481482</v>
      </c>
      <c r="E31" s="8">
        <v>64.9995023148148</v>
      </c>
      <c r="F31" s="8">
        <v>450</v>
      </c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A23"/>
  <sheetViews>
    <sheetView workbookViewId="0">
      <pane state="frozen" activePane="bottomLeft" topLeftCell="A10" ySplit="9" xSplit="0"/>
    </sheetView>
  </sheetViews>
  <sheetFormatPr defaultRowHeight="15" x14ac:dyDescent="0.25"/>
  <cols>
    <col min="1" max="1" style="16" width="5.2907142857142855" customWidth="1" bestFit="1"/>
    <col min="2" max="2" style="17" width="5.862142857142857" customWidth="1" bestFit="1"/>
    <col min="3" max="3" style="18" width="13.576428571428572" customWidth="1" bestFit="1"/>
    <col min="4" max="4" style="19" width="10.862142857142858" customWidth="1" bestFit="1"/>
    <col min="5" max="5" style="18" width="13.576428571428572" customWidth="1" bestFit="1"/>
    <col min="6" max="6" style="18" width="13.576428571428572" customWidth="1" bestFit="1"/>
    <col min="7" max="7" style="17" width="2.2907142857142855" customWidth="1" bestFit="1"/>
    <col min="8" max="8" style="16" width="4.576428571428571" customWidth="1" bestFit="1"/>
    <col min="9" max="9" style="17" width="7.576428571428571" customWidth="1" bestFit="1"/>
    <col min="10" max="10" style="18" width="13.576428571428572" customWidth="1" bestFit="1"/>
    <col min="11" max="11" style="19" width="10.862142857142858" customWidth="1" bestFit="1"/>
    <col min="12" max="12" style="18" width="13.576428571428572" customWidth="1" bestFit="1"/>
    <col min="13" max="13" style="18" width="13.576428571428572" customWidth="1" bestFit="1"/>
    <col min="14" max="14" style="17" width="2.1478571428571427" customWidth="1" bestFit="1"/>
    <col min="15" max="15" style="16" width="5.576428571428571" customWidth="1" bestFit="1"/>
    <col min="16" max="16" style="17" width="4.147857142857143" customWidth="1" bestFit="1"/>
    <col min="17" max="17" style="18" width="13.576428571428572" customWidth="1" bestFit="1"/>
    <col min="18" max="18" style="19" width="11.43357142857143" customWidth="1" bestFit="1"/>
    <col min="19" max="19" style="18" width="13.576428571428572" customWidth="1" bestFit="1"/>
    <col min="20" max="20" style="18" width="13.576428571428572" customWidth="1" bestFit="1"/>
    <col min="21" max="21" style="17" width="2.1478571428571427" customWidth="1" bestFit="1"/>
    <col min="22" max="22" style="16" width="5.862142857142857" customWidth="1" bestFit="1"/>
    <col min="23" max="23" style="17" width="6.719285714285714" customWidth="1" bestFit="1"/>
    <col min="24" max="24" style="18" width="13.576428571428572" customWidth="1" bestFit="1"/>
    <col min="25" max="25" style="19" width="10.862142857142858" customWidth="1" bestFit="1"/>
    <col min="26" max="26" style="18" width="13.576428571428572" customWidth="1" bestFit="1"/>
    <col min="27" max="27" style="18" width="13.576428571428572" customWidth="1" bestFit="1"/>
  </cols>
  <sheetData>
    <row x14ac:dyDescent="0.25" r="1" customHeight="1" ht="32.1">
      <c r="A1" s="1" t="s">
        <v>0</v>
      </c>
      <c r="B1" s="2"/>
      <c r="C1" s="3" t="s">
        <v>1</v>
      </c>
      <c r="D1" s="4" t="s">
        <v>2</v>
      </c>
      <c r="E1" s="3" t="s">
        <v>3</v>
      </c>
      <c r="F1" s="3" t="s">
        <v>4</v>
      </c>
      <c r="G1" s="5"/>
      <c r="H1" s="1" t="s">
        <v>5</v>
      </c>
      <c r="I1" s="2"/>
      <c r="J1" s="3" t="s">
        <v>1</v>
      </c>
      <c r="K1" s="4" t="s">
        <v>2</v>
      </c>
      <c r="L1" s="3" t="s">
        <v>3</v>
      </c>
      <c r="M1" s="3" t="s">
        <v>4</v>
      </c>
      <c r="N1" s="5"/>
      <c r="O1" s="1" t="s">
        <v>6</v>
      </c>
      <c r="P1" s="2"/>
      <c r="Q1" s="3" t="s">
        <v>1</v>
      </c>
      <c r="R1" s="4" t="s">
        <v>2</v>
      </c>
      <c r="S1" s="3" t="s">
        <v>3</v>
      </c>
      <c r="T1" s="3" t="s">
        <v>4</v>
      </c>
      <c r="U1" s="5"/>
      <c r="V1" s="1" t="s">
        <v>7</v>
      </c>
      <c r="W1" s="2"/>
      <c r="X1" s="3" t="s">
        <v>1</v>
      </c>
      <c r="Y1" s="4" t="s">
        <v>2</v>
      </c>
      <c r="Z1" s="3" t="s">
        <v>3</v>
      </c>
      <c r="AA1" s="3" t="s">
        <v>4</v>
      </c>
    </row>
    <row x14ac:dyDescent="0.25" r="2" customHeight="1" ht="18.75">
      <c r="A2" s="6">
        <v>0.5</v>
      </c>
      <c r="B2" s="7" t="s">
        <v>8</v>
      </c>
      <c r="C2" s="8">
        <v>60.99950231481481</v>
      </c>
      <c r="D2" s="9">
        <v>42.64950231481482</v>
      </c>
      <c r="E2" s="8">
        <v>30.999502314814816</v>
      </c>
      <c r="F2" s="8">
        <v>30.999502314814816</v>
      </c>
      <c r="G2" s="10"/>
      <c r="H2" s="6">
        <v>0.5</v>
      </c>
      <c r="I2" s="7" t="s">
        <v>8</v>
      </c>
      <c r="J2" s="8">
        <v>66.99950231481482</v>
      </c>
      <c r="K2" s="9">
        <v>46.89950231481482</v>
      </c>
      <c r="L2" s="8">
        <v>35.99950231481481</v>
      </c>
      <c r="M2" s="8">
        <v>35.99950231481481</v>
      </c>
      <c r="N2" s="10"/>
      <c r="O2" s="6">
        <v>0.5</v>
      </c>
      <c r="P2" s="7" t="s">
        <v>8</v>
      </c>
      <c r="Q2" s="8">
        <v>67.99950231481482</v>
      </c>
      <c r="R2" s="9">
        <v>46.89950231481482</v>
      </c>
      <c r="S2" s="8">
        <v>40.99950231481481</v>
      </c>
      <c r="T2" s="8">
        <v>35.99950231481481</v>
      </c>
      <c r="U2" s="10"/>
      <c r="V2" s="6">
        <v>0.5</v>
      </c>
      <c r="W2" s="7" t="s">
        <v>8</v>
      </c>
      <c r="X2" s="8">
        <v>67.99950231481482</v>
      </c>
      <c r="Y2" s="9">
        <v>46.89950231481482</v>
      </c>
      <c r="Z2" s="8">
        <v>45.99950231481481</v>
      </c>
      <c r="AA2" s="8">
        <v>40.99950231481481</v>
      </c>
    </row>
    <row x14ac:dyDescent="0.25" r="3" customHeight="1" ht="18.75">
      <c r="A3" s="11">
        <v>1</v>
      </c>
      <c r="B3" s="7" t="s">
        <v>8</v>
      </c>
      <c r="C3" s="8">
        <v>62.99950231481481</v>
      </c>
      <c r="D3" s="9">
        <v>44.34950231481481</v>
      </c>
      <c r="E3" s="8">
        <v>30.999502314814816</v>
      </c>
      <c r="F3" s="8">
        <v>30.999502314814816</v>
      </c>
      <c r="G3" s="10"/>
      <c r="H3" s="11">
        <v>1</v>
      </c>
      <c r="I3" s="7" t="s">
        <v>8</v>
      </c>
      <c r="J3" s="8">
        <v>72.99950231481482</v>
      </c>
      <c r="K3" s="9">
        <v>51.14950231481482</v>
      </c>
      <c r="L3" s="8">
        <v>35.99950231481481</v>
      </c>
      <c r="M3" s="8">
        <v>35.99950231481481</v>
      </c>
      <c r="N3" s="10"/>
      <c r="O3" s="11">
        <v>1</v>
      </c>
      <c r="P3" s="7" t="s">
        <v>8</v>
      </c>
      <c r="Q3" s="8">
        <v>74.99950231481482</v>
      </c>
      <c r="R3" s="9">
        <v>51.99950231481481</v>
      </c>
      <c r="S3" s="8">
        <v>40.99950231481481</v>
      </c>
      <c r="T3" s="8">
        <v>35.99950231481481</v>
      </c>
      <c r="U3" s="10"/>
      <c r="V3" s="11">
        <v>1</v>
      </c>
      <c r="W3" s="7" t="s">
        <v>8</v>
      </c>
      <c r="X3" s="8">
        <v>74.99950231481482</v>
      </c>
      <c r="Y3" s="9">
        <v>51.99950231481481</v>
      </c>
      <c r="Z3" s="8">
        <v>45.99950231481481</v>
      </c>
      <c r="AA3" s="8">
        <v>40.99950231481481</v>
      </c>
    </row>
    <row x14ac:dyDescent="0.25" r="4" customHeight="1" ht="18.75">
      <c r="A4" s="6">
        <v>1.5</v>
      </c>
      <c r="B4" s="7" t="s">
        <v>8</v>
      </c>
      <c r="C4" s="8">
        <v>64.9995023148148</v>
      </c>
      <c r="D4" s="9">
        <v>46.049502314814816</v>
      </c>
      <c r="E4" s="8">
        <v>50.99950231481481</v>
      </c>
      <c r="F4" s="8">
        <v>49.99950231481481</v>
      </c>
      <c r="G4" s="10"/>
      <c r="H4" s="6">
        <v>1.5</v>
      </c>
      <c r="I4" s="7" t="s">
        <v>8</v>
      </c>
      <c r="J4" s="8">
        <v>78.99950231481482</v>
      </c>
      <c r="K4" s="9">
        <v>55.39950231481482</v>
      </c>
      <c r="L4" s="8">
        <f>L2+23</f>
        <v>25569.333333333332</v>
      </c>
      <c r="M4" s="8">
        <f>M2+22</f>
        <v>25569.333333333332</v>
      </c>
      <c r="N4" s="10"/>
      <c r="O4" s="6">
        <v>1.5</v>
      </c>
      <c r="P4" s="7" t="s">
        <v>8</v>
      </c>
      <c r="Q4" s="8">
        <v>81.99950231481482</v>
      </c>
      <c r="R4" s="9">
        <v>57.09950231481481</v>
      </c>
      <c r="S4" s="8">
        <f>S2+25</f>
        <v>25569.333333333332</v>
      </c>
      <c r="T4" s="8">
        <f>T2+22</f>
        <v>25569.333333333332</v>
      </c>
      <c r="U4" s="10"/>
      <c r="V4" s="6">
        <v>1.5</v>
      </c>
      <c r="W4" s="7" t="s">
        <v>8</v>
      </c>
      <c r="X4" s="8">
        <v>81.99950231481482</v>
      </c>
      <c r="Y4" s="9">
        <v>57.09950231481481</v>
      </c>
      <c r="Z4" s="8">
        <f>Z2+26</f>
        <v>25569.333333333332</v>
      </c>
      <c r="AA4" s="8">
        <f>AA2+23</f>
        <v>25569.333333333332</v>
      </c>
    </row>
    <row x14ac:dyDescent="0.25" r="5" customHeight="1" ht="18.75">
      <c r="A5" s="11">
        <v>2</v>
      </c>
      <c r="B5" s="7" t="s">
        <v>8</v>
      </c>
      <c r="C5" s="8">
        <v>70.99950231481482</v>
      </c>
      <c r="D5" s="9">
        <v>49.449502314814815</v>
      </c>
      <c r="E5" s="8">
        <v>50.99950231481481</v>
      </c>
      <c r="F5" s="8">
        <v>49.99950231481481</v>
      </c>
      <c r="G5" s="10"/>
      <c r="H5" s="11">
        <v>2</v>
      </c>
      <c r="I5" s="7" t="s">
        <v>8</v>
      </c>
      <c r="J5" s="8">
        <v>89.99950231481482</v>
      </c>
      <c r="K5" s="9">
        <v>61.199502314814815</v>
      </c>
      <c r="L5" s="8">
        <f>L3+23</f>
        <v>25569.333333333332</v>
      </c>
      <c r="M5" s="8">
        <f>M3+22</f>
        <v>25569.333333333332</v>
      </c>
      <c r="N5" s="10"/>
      <c r="O5" s="11">
        <v>2</v>
      </c>
      <c r="P5" s="7" t="s">
        <v>8</v>
      </c>
      <c r="Q5" s="8">
        <v>94.99950231481482</v>
      </c>
      <c r="R5" s="9">
        <v>64.59950231481481</v>
      </c>
      <c r="S5" s="8">
        <f>S3+25</f>
        <v>25569.333333333332</v>
      </c>
      <c r="T5" s="8">
        <f>T3+22</f>
        <v>25569.333333333332</v>
      </c>
      <c r="U5" s="10"/>
      <c r="V5" s="11">
        <v>2</v>
      </c>
      <c r="W5" s="7" t="s">
        <v>8</v>
      </c>
      <c r="X5" s="8">
        <v>94.99950231481482</v>
      </c>
      <c r="Y5" s="9">
        <v>64.59950231481481</v>
      </c>
      <c r="Z5" s="8">
        <f>Z3+26</f>
        <v>25569.333333333332</v>
      </c>
      <c r="AA5" s="8">
        <f>AA3+23</f>
        <v>25569.333333333332</v>
      </c>
    </row>
    <row x14ac:dyDescent="0.25" r="6" customHeight="1" ht="18.75">
      <c r="A6" s="6">
        <v>2.5</v>
      </c>
      <c r="B6" s="7" t="s">
        <v>8</v>
      </c>
      <c r="C6" s="8">
        <v>76.99950231481482</v>
      </c>
      <c r="D6" s="9">
        <v>53.699502314814815</v>
      </c>
      <c r="E6" s="8">
        <f>E4+20</f>
        <v>25569.333333333332</v>
      </c>
      <c r="F6" s="8">
        <f>F4+19</f>
        <v>25569.333333333332</v>
      </c>
      <c r="G6" s="10"/>
      <c r="H6" s="6">
        <v>2.5</v>
      </c>
      <c r="I6" s="7" t="s">
        <v>8</v>
      </c>
      <c r="J6" s="8">
        <v>100.99950231481482</v>
      </c>
      <c r="K6" s="9">
        <v>68.84950231481481</v>
      </c>
      <c r="L6" s="8">
        <f>L4+23</f>
        <v>25569.333333333332</v>
      </c>
      <c r="M6" s="8">
        <f>M4+22</f>
        <v>25569.333333333332</v>
      </c>
      <c r="N6" s="10"/>
      <c r="O6" s="6">
        <v>2.5</v>
      </c>
      <c r="P6" s="7" t="s">
        <v>8</v>
      </c>
      <c r="Q6" s="8">
        <v>107.99950231481482</v>
      </c>
      <c r="R6" s="9">
        <v>73.94950231481481</v>
      </c>
      <c r="S6" s="8">
        <f>S4+25</f>
        <v>25569.333333333332</v>
      </c>
      <c r="T6" s="8">
        <f>T4+22</f>
        <v>25569.333333333332</v>
      </c>
      <c r="U6" s="10"/>
      <c r="V6" s="6">
        <v>2.5</v>
      </c>
      <c r="W6" s="7" t="s">
        <v>8</v>
      </c>
      <c r="X6" s="8">
        <v>107.99950231481482</v>
      </c>
      <c r="Y6" s="9">
        <v>73.94950231481481</v>
      </c>
      <c r="Z6" s="8">
        <f>Z4+26</f>
        <v>25569.333333333332</v>
      </c>
      <c r="AA6" s="8">
        <f>AA4+23</f>
        <v>25569.333333333332</v>
      </c>
    </row>
    <row x14ac:dyDescent="0.25" r="7" customHeight="1" ht="18.75">
      <c r="A7" s="11">
        <v>3</v>
      </c>
      <c r="B7" s="7" t="s">
        <v>8</v>
      </c>
      <c r="C7" s="8">
        <v>84.99950231481482</v>
      </c>
      <c r="D7" s="9">
        <v>57.949502314814815</v>
      </c>
      <c r="E7" s="8">
        <f>E5+20</f>
        <v>25569.333333333332</v>
      </c>
      <c r="F7" s="8">
        <f>F5+19</f>
        <v>25569.333333333332</v>
      </c>
      <c r="G7" s="10"/>
      <c r="H7" s="11">
        <v>3</v>
      </c>
      <c r="I7" s="7" t="s">
        <v>8</v>
      </c>
      <c r="J7" s="8">
        <v>116.99950231481482</v>
      </c>
      <c r="K7" s="9">
        <v>76.49950231481482</v>
      </c>
      <c r="L7" s="8">
        <f>L5+23</f>
        <v>25569.333333333332</v>
      </c>
      <c r="M7" s="8">
        <f>M5+22</f>
        <v>25569.333333333332</v>
      </c>
      <c r="N7" s="10"/>
      <c r="O7" s="11">
        <v>3</v>
      </c>
      <c r="P7" s="7" t="s">
        <v>8</v>
      </c>
      <c r="Q7" s="8">
        <v>128.99950231481483</v>
      </c>
      <c r="R7" s="9">
        <v>83.29950231481482</v>
      </c>
      <c r="S7" s="8">
        <f>S5+25</f>
        <v>25569.333333333332</v>
      </c>
      <c r="T7" s="8">
        <f>T5+22</f>
        <v>25569.333333333332</v>
      </c>
      <c r="U7" s="10"/>
      <c r="V7" s="11">
        <v>3</v>
      </c>
      <c r="W7" s="7" t="s">
        <v>8</v>
      </c>
      <c r="X7" s="8">
        <v>128.99950231481483</v>
      </c>
      <c r="Y7" s="9">
        <v>83.29950231481482</v>
      </c>
      <c r="Z7" s="8">
        <f>Z5+26</f>
        <v>25569.333333333332</v>
      </c>
      <c r="AA7" s="8">
        <f>AA5+23</f>
        <v>25569.333333333332</v>
      </c>
    </row>
    <row x14ac:dyDescent="0.25" r="8" customHeight="1" ht="18.75">
      <c r="A8" s="6">
        <v>3.5</v>
      </c>
      <c r="B8" s="7" t="s">
        <v>8</v>
      </c>
      <c r="C8" s="8">
        <v>89.99950231481482</v>
      </c>
      <c r="D8" s="9">
        <v>62.049502314814816</v>
      </c>
      <c r="E8" s="8">
        <f>E6+20</f>
        <v>25569.333333333332</v>
      </c>
      <c r="F8" s="8">
        <f>F6+19</f>
        <v>25569.333333333332</v>
      </c>
      <c r="G8" s="10"/>
      <c r="H8" s="6">
        <v>3.5</v>
      </c>
      <c r="I8" s="7" t="s">
        <v>8</v>
      </c>
      <c r="J8" s="8">
        <v>128.99950231481483</v>
      </c>
      <c r="K8" s="9">
        <v>88.39950231481481</v>
      </c>
      <c r="L8" s="8">
        <f>L6+23</f>
        <v>25569.333333333332</v>
      </c>
      <c r="M8" s="8">
        <f>M6+22</f>
        <v>25569.333333333332</v>
      </c>
      <c r="N8" s="10"/>
      <c r="O8" s="6">
        <v>3.5</v>
      </c>
      <c r="P8" s="7" t="s">
        <v>8</v>
      </c>
      <c r="Q8" s="8">
        <v>142.9995023148148</v>
      </c>
      <c r="R8" s="9">
        <v>98.59950231481481</v>
      </c>
      <c r="S8" s="8">
        <f>S6+25</f>
        <v>25569.333333333332</v>
      </c>
      <c r="T8" s="8">
        <f>T6+22</f>
        <v>25569.333333333332</v>
      </c>
      <c r="U8" s="10"/>
      <c r="V8" s="6">
        <v>3.5</v>
      </c>
      <c r="W8" s="7" t="s">
        <v>8</v>
      </c>
      <c r="X8" s="8">
        <v>142.9995023148148</v>
      </c>
      <c r="Y8" s="9">
        <v>98.59950231481481</v>
      </c>
      <c r="Z8" s="8">
        <f>Z6+26</f>
        <v>25569.333333333332</v>
      </c>
      <c r="AA8" s="8">
        <f>AA6+23</f>
        <v>25569.333333333332</v>
      </c>
    </row>
    <row x14ac:dyDescent="0.25" r="9" customHeight="1" ht="18.75">
      <c r="A9" s="11">
        <v>4</v>
      </c>
      <c r="B9" s="7" t="s">
        <v>8</v>
      </c>
      <c r="C9" s="8">
        <v>94.99950231481482</v>
      </c>
      <c r="D9" s="9">
        <v>65.44950231481481</v>
      </c>
      <c r="E9" s="8">
        <f>E7+20</f>
        <v>25569.333333333332</v>
      </c>
      <c r="F9" s="8">
        <f>F7+19</f>
        <v>25569.333333333332</v>
      </c>
      <c r="G9" s="10"/>
      <c r="H9" s="11">
        <v>4</v>
      </c>
      <c r="I9" s="7" t="s">
        <v>8</v>
      </c>
      <c r="J9" s="8">
        <v>140.9995023148148</v>
      </c>
      <c r="K9" s="9">
        <v>96.89950231481481</v>
      </c>
      <c r="L9" s="8">
        <f>L7+23</f>
        <v>25569.333333333332</v>
      </c>
      <c r="M9" s="8">
        <f>M7+22</f>
        <v>25569.333333333332</v>
      </c>
      <c r="N9" s="10"/>
      <c r="O9" s="11">
        <v>4</v>
      </c>
      <c r="P9" s="7" t="s">
        <v>8</v>
      </c>
      <c r="Q9" s="8">
        <v>156.9995023148148</v>
      </c>
      <c r="R9" s="9">
        <v>108.79950231481482</v>
      </c>
      <c r="S9" s="8">
        <f>S7+25</f>
        <v>25569.333333333332</v>
      </c>
      <c r="T9" s="8">
        <f>T7+22</f>
        <v>25569.333333333332</v>
      </c>
      <c r="U9" s="10"/>
      <c r="V9" s="11">
        <v>4</v>
      </c>
      <c r="W9" s="7" t="s">
        <v>8</v>
      </c>
      <c r="X9" s="8">
        <v>156.9995023148148</v>
      </c>
      <c r="Y9" s="9">
        <v>108.79950231481482</v>
      </c>
      <c r="Z9" s="8">
        <f>Z7+26</f>
        <v>25569.333333333332</v>
      </c>
      <c r="AA9" s="8">
        <f>AA7+23</f>
        <v>25569.333333333332</v>
      </c>
    </row>
    <row x14ac:dyDescent="0.25" r="10" customHeight="1" ht="18.75">
      <c r="A10" s="6">
        <v>4.5</v>
      </c>
      <c r="B10" s="7" t="s">
        <v>8</v>
      </c>
      <c r="C10" s="8">
        <v>99.99950231481482</v>
      </c>
      <c r="D10" s="9">
        <v>69.69950231481481</v>
      </c>
      <c r="E10" s="8">
        <f>E8+20</f>
        <v>25569.333333333332</v>
      </c>
      <c r="F10" s="8">
        <f>F8+19</f>
        <v>25569.333333333332</v>
      </c>
      <c r="G10" s="10"/>
      <c r="H10" s="6">
        <v>4.5</v>
      </c>
      <c r="I10" s="7" t="s">
        <v>8</v>
      </c>
      <c r="J10" s="8">
        <v>152.9995023148148</v>
      </c>
      <c r="K10" s="9">
        <v>105.39950231481481</v>
      </c>
      <c r="L10" s="8">
        <f>L8+23</f>
        <v>25569.333333333332</v>
      </c>
      <c r="M10" s="8">
        <f>M8+22</f>
        <v>25569.333333333332</v>
      </c>
      <c r="N10" s="10"/>
      <c r="O10" s="6">
        <v>4.5</v>
      </c>
      <c r="P10" s="7" t="s">
        <v>8</v>
      </c>
      <c r="Q10" s="8">
        <v>170.9995023148148</v>
      </c>
      <c r="R10" s="9">
        <v>118.99950231481482</v>
      </c>
      <c r="S10" s="8">
        <f>S8+25</f>
        <v>25569.333333333332</v>
      </c>
      <c r="T10" s="8">
        <f>T8+22</f>
        <v>25569.333333333332</v>
      </c>
      <c r="U10" s="10"/>
      <c r="V10" s="6">
        <v>4.5</v>
      </c>
      <c r="W10" s="7" t="s">
        <v>8</v>
      </c>
      <c r="X10" s="8">
        <v>170.9995023148148</v>
      </c>
      <c r="Y10" s="9">
        <v>118.99950231481482</v>
      </c>
      <c r="Z10" s="8">
        <f>Z8+26</f>
        <v>25569.333333333332</v>
      </c>
      <c r="AA10" s="8">
        <f>AA8+23</f>
        <v>25569.333333333332</v>
      </c>
    </row>
    <row x14ac:dyDescent="0.25" r="11" customHeight="1" ht="18.75">
      <c r="A11" s="11">
        <v>5</v>
      </c>
      <c r="B11" s="7" t="s">
        <v>8</v>
      </c>
      <c r="C11" s="8">
        <v>104.99950231481482</v>
      </c>
      <c r="D11" s="9">
        <v>73.09950231481481</v>
      </c>
      <c r="E11" s="8">
        <f>E9+20</f>
        <v>25569.333333333332</v>
      </c>
      <c r="F11" s="8">
        <f>F9+19</f>
        <v>25569.333333333332</v>
      </c>
      <c r="G11" s="10"/>
      <c r="H11" s="11">
        <v>5</v>
      </c>
      <c r="I11" s="7" t="s">
        <v>8</v>
      </c>
      <c r="J11" s="8">
        <v>164.9995023148148</v>
      </c>
      <c r="K11" s="9">
        <v>113.89950231481481</v>
      </c>
      <c r="L11" s="8">
        <f>L9+23</f>
        <v>25569.333333333332</v>
      </c>
      <c r="M11" s="8">
        <f>M9+22</f>
        <v>25569.333333333332</v>
      </c>
      <c r="N11" s="10"/>
      <c r="O11" s="11">
        <v>5</v>
      </c>
      <c r="P11" s="7" t="s">
        <v>8</v>
      </c>
      <c r="Q11" s="8">
        <v>184.9995023148148</v>
      </c>
      <c r="R11" s="9">
        <v>129.19950231481482</v>
      </c>
      <c r="S11" s="8">
        <f>S9+25</f>
        <v>25569.333333333332</v>
      </c>
      <c r="T11" s="8">
        <f>T9+22</f>
        <v>25569.333333333332</v>
      </c>
      <c r="U11" s="10"/>
      <c r="V11" s="11">
        <v>5</v>
      </c>
      <c r="W11" s="7" t="s">
        <v>8</v>
      </c>
      <c r="X11" s="8">
        <v>184.9995023148148</v>
      </c>
      <c r="Y11" s="9">
        <v>129.19950231481482</v>
      </c>
      <c r="Z11" s="8">
        <f>Z9+26</f>
        <v>25569.333333333332</v>
      </c>
      <c r="AA11" s="8">
        <f>AA9+23</f>
        <v>25569.333333333332</v>
      </c>
    </row>
    <row x14ac:dyDescent="0.25" r="12" customHeight="1" ht="18.75">
      <c r="A12" s="6">
        <v>5.5</v>
      </c>
      <c r="B12" s="7" t="s">
        <v>8</v>
      </c>
      <c r="C12" s="8">
        <v>117.99950231481482</v>
      </c>
      <c r="D12" s="9">
        <v>80.74950231481482</v>
      </c>
      <c r="E12" s="8">
        <f>E10+20</f>
        <v>25569.333333333332</v>
      </c>
      <c r="F12" s="8">
        <f>F10+19</f>
        <v>25569.333333333332</v>
      </c>
      <c r="G12" s="10"/>
      <c r="H12" s="6">
        <v>5.5</v>
      </c>
      <c r="I12" s="7" t="s">
        <v>8</v>
      </c>
      <c r="J12" s="8">
        <v>185.9995023148148</v>
      </c>
      <c r="K12" s="9">
        <v>128.3495023148148</v>
      </c>
      <c r="L12" s="8">
        <f>L10+23</f>
        <v>25569.333333333332</v>
      </c>
      <c r="M12" s="8">
        <f>M10+22</f>
        <v>25569.333333333332</v>
      </c>
      <c r="N12" s="10"/>
      <c r="O12" s="6">
        <v>5.5</v>
      </c>
      <c r="P12" s="7" t="s">
        <v>8</v>
      </c>
      <c r="Q12" s="8">
        <v>209.9995023148148</v>
      </c>
      <c r="R12" s="9">
        <v>144.4995023148148</v>
      </c>
      <c r="S12" s="8">
        <f>S10+25</f>
        <v>25569.333333333332</v>
      </c>
      <c r="T12" s="8">
        <f>T10+22</f>
        <v>25569.333333333332</v>
      </c>
      <c r="U12" s="10"/>
      <c r="V12" s="6">
        <v>5.5</v>
      </c>
      <c r="W12" s="7" t="s">
        <v>8</v>
      </c>
      <c r="X12" s="8">
        <v>209.9995023148148</v>
      </c>
      <c r="Y12" s="9">
        <v>144.4995023148148</v>
      </c>
      <c r="Z12" s="8">
        <f>Z10+26</f>
        <v>25569.333333333332</v>
      </c>
      <c r="AA12" s="8">
        <f>AA10+23</f>
        <v>25569.333333333332</v>
      </c>
    </row>
    <row x14ac:dyDescent="0.25" r="13" customHeight="1" ht="18.75">
      <c r="A13" s="11">
        <v>6</v>
      </c>
      <c r="B13" s="7" t="s">
        <v>8</v>
      </c>
      <c r="C13" s="8">
        <v>130.9995023148148</v>
      </c>
      <c r="D13" s="9">
        <v>90.09950231481481</v>
      </c>
      <c r="E13" s="8">
        <f>E11+20</f>
        <v>25569.333333333332</v>
      </c>
      <c r="F13" s="8">
        <f>F11+19</f>
        <v>25569.333333333332</v>
      </c>
      <c r="G13" s="10"/>
      <c r="H13" s="11">
        <v>6</v>
      </c>
      <c r="I13" s="7" t="s">
        <v>8</v>
      </c>
      <c r="J13" s="8">
        <v>206.9995023148148</v>
      </c>
      <c r="K13" s="9">
        <v>142.79950231481482</v>
      </c>
      <c r="L13" s="8">
        <f>L11+23</f>
        <v>25569.333333333332</v>
      </c>
      <c r="M13" s="8">
        <f>M11+22</f>
        <v>25569.333333333332</v>
      </c>
      <c r="N13" s="10"/>
      <c r="O13" s="11">
        <v>6</v>
      </c>
      <c r="P13" s="7" t="s">
        <v>8</v>
      </c>
      <c r="Q13" s="8">
        <v>234.9995023148148</v>
      </c>
      <c r="R13" s="9">
        <v>161.4995023148148</v>
      </c>
      <c r="S13" s="8">
        <f>S11+25</f>
        <v>25569.333333333332</v>
      </c>
      <c r="T13" s="8">
        <f>T11+22</f>
        <v>25569.333333333332</v>
      </c>
      <c r="U13" s="10"/>
      <c r="V13" s="11">
        <v>6</v>
      </c>
      <c r="W13" s="7" t="s">
        <v>8</v>
      </c>
      <c r="X13" s="8">
        <v>234.9995023148148</v>
      </c>
      <c r="Y13" s="9">
        <v>161.4995023148148</v>
      </c>
      <c r="Z13" s="8">
        <f>Z11+26</f>
        <v>25569.333333333332</v>
      </c>
      <c r="AA13" s="8">
        <f>AA11+23</f>
        <v>25569.333333333332</v>
      </c>
    </row>
    <row x14ac:dyDescent="0.25" r="14" customHeight="1" ht="18.75">
      <c r="A14" s="6">
        <v>6.5</v>
      </c>
      <c r="B14" s="7" t="s">
        <v>8</v>
      </c>
      <c r="C14" s="8">
        <v>143.9995023148148</v>
      </c>
      <c r="D14" s="9">
        <v>99.44950231481481</v>
      </c>
      <c r="E14" s="8">
        <f>E12+20</f>
        <v>25569.333333333332</v>
      </c>
      <c r="F14" s="8">
        <f>F12+19</f>
        <v>25569.333333333332</v>
      </c>
      <c r="G14" s="10"/>
      <c r="H14" s="6">
        <v>6.5</v>
      </c>
      <c r="I14" s="7" t="s">
        <v>8</v>
      </c>
      <c r="J14" s="8">
        <v>227.9995023148148</v>
      </c>
      <c r="K14" s="9">
        <v>158.09950231481483</v>
      </c>
      <c r="L14" s="8">
        <f>L12+23</f>
        <v>25569.333333333332</v>
      </c>
      <c r="M14" s="8">
        <f>M12+22</f>
        <v>25569.333333333332</v>
      </c>
      <c r="N14" s="10"/>
      <c r="O14" s="6">
        <v>6.5</v>
      </c>
      <c r="P14" s="7" t="s">
        <v>8</v>
      </c>
      <c r="Q14" s="8">
        <v>259.99950231481483</v>
      </c>
      <c r="R14" s="9">
        <v>179.34950231481483</v>
      </c>
      <c r="S14" s="8">
        <f>S12+25</f>
        <v>25569.333333333332</v>
      </c>
      <c r="T14" s="8">
        <f>T12+22</f>
        <v>25569.333333333332</v>
      </c>
      <c r="U14" s="10"/>
      <c r="V14" s="6">
        <v>6.5</v>
      </c>
      <c r="W14" s="7" t="s">
        <v>8</v>
      </c>
      <c r="X14" s="8">
        <v>259.99950231481483</v>
      </c>
      <c r="Y14" s="9">
        <v>179.34950231481483</v>
      </c>
      <c r="Z14" s="8">
        <f>Z12+26</f>
        <v>25569.333333333332</v>
      </c>
      <c r="AA14" s="8">
        <f>AA12+23</f>
        <v>25569.333333333332</v>
      </c>
    </row>
    <row x14ac:dyDescent="0.25" r="15" customHeight="1" ht="18.75">
      <c r="A15" s="11">
        <v>7</v>
      </c>
      <c r="B15" s="7" t="s">
        <v>8</v>
      </c>
      <c r="C15" s="8">
        <v>156.9995023148148</v>
      </c>
      <c r="D15" s="9">
        <v>108.79950231481482</v>
      </c>
      <c r="E15" s="8">
        <f>E13+20</f>
        <v>25569.333333333332</v>
      </c>
      <c r="F15" s="8">
        <f>F13+19</f>
        <v>25569.333333333332</v>
      </c>
      <c r="G15" s="10"/>
      <c r="H15" s="11">
        <v>7</v>
      </c>
      <c r="I15" s="7" t="s">
        <v>8</v>
      </c>
      <c r="J15" s="8">
        <v>248.9995023148148</v>
      </c>
      <c r="K15" s="9">
        <v>172.54950231481482</v>
      </c>
      <c r="L15" s="8">
        <f>L13+23</f>
        <v>25569.333333333332</v>
      </c>
      <c r="M15" s="8">
        <f>M13+22</f>
        <v>25569.333333333332</v>
      </c>
      <c r="N15" s="10"/>
      <c r="O15" s="11">
        <v>7</v>
      </c>
      <c r="P15" s="7" t="s">
        <v>8</v>
      </c>
      <c r="Q15" s="8">
        <v>284.99950231481483</v>
      </c>
      <c r="R15" s="9">
        <v>196.34950231481483</v>
      </c>
      <c r="S15" s="8">
        <f>S13+25</f>
        <v>25569.333333333332</v>
      </c>
      <c r="T15" s="8">
        <f>T13+22</f>
        <v>25569.333333333332</v>
      </c>
      <c r="U15" s="10"/>
      <c r="V15" s="11">
        <v>7</v>
      </c>
      <c r="W15" s="7" t="s">
        <v>8</v>
      </c>
      <c r="X15" s="8">
        <v>284.99950231481483</v>
      </c>
      <c r="Y15" s="9">
        <v>196.34950231481483</v>
      </c>
      <c r="Z15" s="8">
        <f>Z13+26</f>
        <v>25569.333333333332</v>
      </c>
      <c r="AA15" s="8">
        <f>AA13+23</f>
        <v>25569.333333333332</v>
      </c>
    </row>
    <row x14ac:dyDescent="0.25" r="16" customHeight="1" ht="18.75">
      <c r="A16" s="6">
        <v>7.5</v>
      </c>
      <c r="B16" s="7" t="s">
        <v>8</v>
      </c>
      <c r="C16" s="8">
        <v>169.9995023148148</v>
      </c>
      <c r="D16" s="9">
        <v>118.14950231481481</v>
      </c>
      <c r="E16" s="8">
        <f>E14+20</f>
        <v>25569.333333333332</v>
      </c>
      <c r="F16" s="8">
        <f>F14+19</f>
        <v>25569.333333333332</v>
      </c>
      <c r="G16" s="10"/>
      <c r="H16" s="6">
        <v>7.5</v>
      </c>
      <c r="I16" s="7" t="s">
        <v>8</v>
      </c>
      <c r="J16" s="8">
        <v>269.99950231481483</v>
      </c>
      <c r="K16" s="9">
        <v>187.84950231481483</v>
      </c>
      <c r="L16" s="8">
        <f>L14+23</f>
        <v>25569.333333333332</v>
      </c>
      <c r="M16" s="8">
        <f>M14+22</f>
        <v>25569.333333333332</v>
      </c>
      <c r="N16" s="10"/>
      <c r="O16" s="6">
        <v>7.5</v>
      </c>
      <c r="P16" s="7" t="s">
        <v>8</v>
      </c>
      <c r="Q16" s="8">
        <v>309.99950231481483</v>
      </c>
      <c r="R16" s="9">
        <v>214.19950231481482</v>
      </c>
      <c r="S16" s="8">
        <f>S14+25</f>
        <v>25569.333333333332</v>
      </c>
      <c r="T16" s="8">
        <f>T14+22</f>
        <v>25569.333333333332</v>
      </c>
      <c r="U16" s="10"/>
      <c r="V16" s="6">
        <v>7.5</v>
      </c>
      <c r="W16" s="7" t="s">
        <v>8</v>
      </c>
      <c r="X16" s="8">
        <v>309.99950231481483</v>
      </c>
      <c r="Y16" s="9">
        <v>214.19950231481482</v>
      </c>
      <c r="Z16" s="8">
        <f>Z14+26</f>
        <v>25569.333333333332</v>
      </c>
      <c r="AA16" s="8">
        <f>AA14+23</f>
        <v>25569.333333333332</v>
      </c>
    </row>
    <row x14ac:dyDescent="0.25" r="17" customHeight="1" ht="18.75">
      <c r="A17" s="11">
        <v>8</v>
      </c>
      <c r="B17" s="7" t="s">
        <v>8</v>
      </c>
      <c r="C17" s="8">
        <v>182.9995023148148</v>
      </c>
      <c r="D17" s="9">
        <v>127.49950231481482</v>
      </c>
      <c r="E17" s="8">
        <f>E15+20</f>
        <v>25569.333333333332</v>
      </c>
      <c r="F17" s="8">
        <f>F15+19</f>
        <v>25569.333333333332</v>
      </c>
      <c r="G17" s="10"/>
      <c r="H17" s="11">
        <v>8</v>
      </c>
      <c r="I17" s="7" t="s">
        <v>8</v>
      </c>
      <c r="J17" s="8">
        <v>290.99950231481483</v>
      </c>
      <c r="K17" s="9">
        <v>202.29950231481482</v>
      </c>
      <c r="L17" s="8">
        <f>L15+23</f>
        <v>25569.333333333332</v>
      </c>
      <c r="M17" s="8">
        <f>M15+22</f>
        <v>25569.333333333332</v>
      </c>
      <c r="N17" s="10"/>
      <c r="O17" s="11">
        <v>8</v>
      </c>
      <c r="P17" s="7" t="s">
        <v>8</v>
      </c>
      <c r="Q17" s="8">
        <v>334.99950231481483</v>
      </c>
      <c r="R17" s="9">
        <v>231.19950231481482</v>
      </c>
      <c r="S17" s="8">
        <f>S15+25</f>
        <v>25569.333333333332</v>
      </c>
      <c r="T17" s="8">
        <f>T15+22</f>
        <v>25569.333333333332</v>
      </c>
      <c r="U17" s="10"/>
      <c r="V17" s="11">
        <v>8</v>
      </c>
      <c r="W17" s="7" t="s">
        <v>8</v>
      </c>
      <c r="X17" s="8">
        <v>334.99950231481483</v>
      </c>
      <c r="Y17" s="9">
        <v>231.19950231481482</v>
      </c>
      <c r="Z17" s="8">
        <f>Z15+26</f>
        <v>25569.333333333332</v>
      </c>
      <c r="AA17" s="8">
        <f>AA15+23</f>
        <v>25569.333333333332</v>
      </c>
    </row>
    <row x14ac:dyDescent="0.25" r="18" customHeight="1" ht="18.75">
      <c r="A18" s="6">
        <v>8.5</v>
      </c>
      <c r="B18" s="7" t="s">
        <v>8</v>
      </c>
      <c r="C18" s="8">
        <v>198.9995023148148</v>
      </c>
      <c r="D18" s="9">
        <v>136.84950231481483</v>
      </c>
      <c r="E18" s="8">
        <f>E16+20</f>
        <v>25569.333333333332</v>
      </c>
      <c r="F18" s="8">
        <f>F16+19</f>
        <v>25569.333333333332</v>
      </c>
      <c r="G18" s="10"/>
      <c r="H18" s="6">
        <v>8.5</v>
      </c>
      <c r="I18" s="7" t="s">
        <v>8</v>
      </c>
      <c r="J18" s="8">
        <v>311.99950231481483</v>
      </c>
      <c r="K18" s="9">
        <v>215.04950231481482</v>
      </c>
      <c r="L18" s="8">
        <f>L16+23</f>
        <v>25569.333333333332</v>
      </c>
      <c r="M18" s="8">
        <f>M16+22</f>
        <v>25569.333333333332</v>
      </c>
      <c r="N18" s="10"/>
      <c r="O18" s="6">
        <v>8.5</v>
      </c>
      <c r="P18" s="7" t="s">
        <v>8</v>
      </c>
      <c r="Q18" s="8">
        <v>358.99950231481483</v>
      </c>
      <c r="R18" s="9">
        <v>246.4995023148148</v>
      </c>
      <c r="S18" s="8">
        <f>S16+25</f>
        <v>25569.333333333332</v>
      </c>
      <c r="T18" s="8">
        <f>T16+22</f>
        <v>25569.333333333332</v>
      </c>
      <c r="U18" s="10"/>
      <c r="V18" s="6">
        <v>8.5</v>
      </c>
      <c r="W18" s="7" t="s">
        <v>8</v>
      </c>
      <c r="X18" s="8">
        <v>358.99950231481483</v>
      </c>
      <c r="Y18" s="9">
        <v>246.4995023148148</v>
      </c>
      <c r="Z18" s="8">
        <f>Z16+26</f>
        <v>25569.333333333332</v>
      </c>
      <c r="AA18" s="8">
        <f>AA16+23</f>
        <v>25569.333333333332</v>
      </c>
    </row>
    <row x14ac:dyDescent="0.25" r="19" customHeight="1" ht="18.75">
      <c r="A19" s="11">
        <v>9</v>
      </c>
      <c r="B19" s="7" t="s">
        <v>8</v>
      </c>
      <c r="C19" s="8">
        <v>214.9995023148148</v>
      </c>
      <c r="D19" s="9">
        <v>147.8995023148148</v>
      </c>
      <c r="E19" s="8">
        <f>E17+20</f>
        <v>25569.333333333332</v>
      </c>
      <c r="F19" s="8">
        <f>F17+19</f>
        <v>25569.333333333332</v>
      </c>
      <c r="G19" s="10"/>
      <c r="H19" s="11">
        <v>9</v>
      </c>
      <c r="I19" s="7" t="s">
        <v>8</v>
      </c>
      <c r="J19" s="8">
        <v>332.99950231481483</v>
      </c>
      <c r="K19" s="9">
        <v>229.4995023148148</v>
      </c>
      <c r="L19" s="8">
        <f>L17+23</f>
        <v>25569.333333333332</v>
      </c>
      <c r="M19" s="8">
        <f>M17+22</f>
        <v>25569.333333333332</v>
      </c>
      <c r="N19" s="10"/>
      <c r="O19" s="11">
        <v>9</v>
      </c>
      <c r="P19" s="7" t="s">
        <v>8</v>
      </c>
      <c r="Q19" s="8">
        <v>383</v>
      </c>
      <c r="R19" s="9">
        <v>263.49950231481483</v>
      </c>
      <c r="S19" s="8">
        <f>S17+25</f>
        <v>25569.333333333332</v>
      </c>
      <c r="T19" s="8">
        <f>T17+22</f>
        <v>25569.333333333332</v>
      </c>
      <c r="U19" s="10"/>
      <c r="V19" s="11">
        <v>9</v>
      </c>
      <c r="W19" s="7" t="s">
        <v>8</v>
      </c>
      <c r="X19" s="8">
        <v>383</v>
      </c>
      <c r="Y19" s="9">
        <v>263.49950231481483</v>
      </c>
      <c r="Z19" s="8">
        <f>Z17+26</f>
        <v>25569.333333333332</v>
      </c>
      <c r="AA19" s="8">
        <f>AA17+23</f>
        <v>25569.333333333332</v>
      </c>
    </row>
    <row x14ac:dyDescent="0.25" r="20" customHeight="1" ht="18.75">
      <c r="A20" s="6">
        <v>9.5</v>
      </c>
      <c r="B20" s="7" t="s">
        <v>8</v>
      </c>
      <c r="C20" s="8">
        <v>230.9995023148148</v>
      </c>
      <c r="D20" s="9">
        <v>159.79950231481482</v>
      </c>
      <c r="E20" s="8">
        <f>E18+20</f>
        <v>25569.333333333332</v>
      </c>
      <c r="F20" s="8">
        <f>F18+19</f>
        <v>25569.333333333332</v>
      </c>
      <c r="G20" s="10"/>
      <c r="H20" s="6">
        <v>9.5</v>
      </c>
      <c r="I20" s="7" t="s">
        <v>8</v>
      </c>
      <c r="J20" s="8">
        <v>353.99950231481483</v>
      </c>
      <c r="K20" s="9">
        <v>244.79950231481482</v>
      </c>
      <c r="L20" s="8">
        <f>L18+23</f>
        <v>25569.333333333332</v>
      </c>
      <c r="M20" s="8">
        <f>M18+22</f>
        <v>25569.333333333332</v>
      </c>
      <c r="N20" s="10"/>
      <c r="O20" s="6">
        <v>9.5</v>
      </c>
      <c r="P20" s="7" t="s">
        <v>8</v>
      </c>
      <c r="Q20" s="8">
        <v>407</v>
      </c>
      <c r="R20" s="9">
        <v>280.49950231481483</v>
      </c>
      <c r="S20" s="8">
        <f>S18+25</f>
        <v>25569.333333333332</v>
      </c>
      <c r="T20" s="8">
        <f>T18+22</f>
        <v>25569.333333333332</v>
      </c>
      <c r="U20" s="10"/>
      <c r="V20" s="6">
        <v>9.5</v>
      </c>
      <c r="W20" s="7" t="s">
        <v>8</v>
      </c>
      <c r="X20" s="8">
        <v>407</v>
      </c>
      <c r="Y20" s="9">
        <v>280.49950231481483</v>
      </c>
      <c r="Z20" s="8">
        <f>Z18+26</f>
        <v>25569.333333333332</v>
      </c>
      <c r="AA20" s="8">
        <f>AA18+23</f>
        <v>25569.333333333332</v>
      </c>
    </row>
    <row x14ac:dyDescent="0.25" r="21" customHeight="1" ht="19.5">
      <c r="A21" s="11">
        <v>10</v>
      </c>
      <c r="B21" s="7" t="s">
        <v>8</v>
      </c>
      <c r="C21" s="8">
        <v>246.9995023148148</v>
      </c>
      <c r="D21" s="9">
        <v>170.84950231481483</v>
      </c>
      <c r="E21" s="8">
        <f>E19+20</f>
        <v>25569.333333333332</v>
      </c>
      <c r="F21" s="8">
        <f>F19+19</f>
        <v>25569.333333333332</v>
      </c>
      <c r="G21" s="10"/>
      <c r="H21" s="11">
        <v>10</v>
      </c>
      <c r="I21" s="7" t="s">
        <v>8</v>
      </c>
      <c r="J21" s="8">
        <v>375</v>
      </c>
      <c r="K21" s="9">
        <v>259.24950231481483</v>
      </c>
      <c r="L21" s="8">
        <f>L19+23</f>
        <v>25569.333333333332</v>
      </c>
      <c r="M21" s="8">
        <f>M19+22</f>
        <v>25569.333333333332</v>
      </c>
      <c r="N21" s="10"/>
      <c r="O21" s="11">
        <v>10</v>
      </c>
      <c r="P21" s="7" t="s">
        <v>8</v>
      </c>
      <c r="Q21" s="8">
        <v>431</v>
      </c>
      <c r="R21" s="9">
        <v>297.49950231481483</v>
      </c>
      <c r="S21" s="8">
        <f>S19+25</f>
        <v>25569.333333333332</v>
      </c>
      <c r="T21" s="8">
        <f>T19+22</f>
        <v>25569.333333333332</v>
      </c>
      <c r="U21" s="10"/>
      <c r="V21" s="11">
        <v>10</v>
      </c>
      <c r="W21" s="7" t="s">
        <v>8</v>
      </c>
      <c r="X21" s="8">
        <v>431</v>
      </c>
      <c r="Y21" s="9">
        <v>297.49950231481483</v>
      </c>
      <c r="Z21" s="8">
        <f>Z19+26</f>
        <v>25569.333333333332</v>
      </c>
      <c r="AA21" s="8">
        <f>AA19+23</f>
        <v>25569.333333333332</v>
      </c>
    </row>
    <row x14ac:dyDescent="0.25" r="22" customHeight="1" ht="18.75">
      <c r="A22" s="12"/>
      <c r="B22" s="13"/>
      <c r="C22" s="14"/>
      <c r="D22" s="15"/>
      <c r="E22" s="14"/>
      <c r="F22" s="14"/>
      <c r="G22" s="13"/>
      <c r="H22" s="12"/>
      <c r="I22" s="13"/>
      <c r="J22" s="14"/>
      <c r="K22" s="15"/>
      <c r="L22" s="14"/>
      <c r="M22" s="14"/>
      <c r="N22" s="13"/>
      <c r="O22" s="12"/>
      <c r="P22" s="13"/>
      <c r="Q22" s="14"/>
      <c r="R22" s="15"/>
      <c r="S22" s="14"/>
      <c r="T22" s="14"/>
      <c r="U22" s="13"/>
      <c r="V22" s="12"/>
      <c r="W22" s="13"/>
      <c r="X22" s="14"/>
      <c r="Y22" s="15"/>
      <c r="Z22" s="14"/>
      <c r="AA22" s="14"/>
    </row>
    <row x14ac:dyDescent="0.25" r="23" customHeight="1" ht="20.25">
      <c r="A23" s="12" t="s">
        <v>9</v>
      </c>
      <c r="B23" s="13"/>
      <c r="C23" s="14"/>
      <c r="D23" s="15"/>
      <c r="E23" s="14"/>
      <c r="F23" s="14"/>
      <c r="G23" s="13"/>
      <c r="H23" s="12"/>
      <c r="I23" s="13"/>
      <c r="J23" s="14"/>
      <c r="K23" s="15"/>
      <c r="L23" s="14"/>
      <c r="M23" s="14"/>
      <c r="N23" s="13"/>
      <c r="O23" s="12"/>
      <c r="P23" s="13"/>
      <c r="Q23" s="14"/>
      <c r="R23" s="15"/>
      <c r="S23" s="14"/>
      <c r="T23" s="14"/>
      <c r="U23" s="13"/>
      <c r="V23" s="12"/>
      <c r="W23" s="13"/>
      <c r="X23" s="14"/>
      <c r="Y23" s="15"/>
      <c r="Z23" s="14"/>
      <c r="AA23" s="14"/>
    </row>
  </sheetData>
  <mergeCells count="4">
    <mergeCell ref="A1:B1"/>
    <mergeCell ref="H1:I1"/>
    <mergeCell ref="O1:P1"/>
    <mergeCell ref="V1:W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HK to HK</vt:lpstr>
      <vt:lpstr>HK to CN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2026-01-27T16:33:33.446Z</dcterms:created>
  <dcterms:modified xsi:type="dcterms:W3CDTF">2026-01-27T16:33:33.446Z</dcterms:modified>
</cp:coreProperties>
</file>